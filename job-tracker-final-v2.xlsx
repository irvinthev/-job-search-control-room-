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racker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Calibri"/>
      <family val="2"/>
      <color theme="1"/>
      <sz val="11"/>
      <scheme val="minor"/>
    </font>
    <font>
      <name val="Calibri"/>
      <b val="1"/>
      <color rgb="001C3557"/>
      <sz val="18"/>
    </font>
    <font>
      <name val="Calibri"/>
      <i val="1"/>
      <color rgb="00555555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20"/>
    </font>
  </fonts>
  <fills count="7">
    <fill>
      <patternFill/>
    </fill>
    <fill>
      <patternFill patternType="gray125"/>
    </fill>
    <fill>
      <patternFill patternType="solid">
        <fgColor rgb="00F5F9FE"/>
      </patternFill>
    </fill>
    <fill>
      <patternFill patternType="solid">
        <fgColor rgb="002E5F8A"/>
      </patternFill>
    </fill>
    <fill>
      <patternFill patternType="solid">
        <fgColor rgb="00D9EAF7"/>
      </patternFill>
    </fill>
    <fill>
      <patternFill patternType="solid">
        <fgColor rgb="001C355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obTracker" displayName="JobTracker" ref="B8:S24" headerRowCount="1">
  <autoFilter ref="B8:S24"/>
  <tableColumns count="18">
    <tableColumn id="2" name="Company"/>
    <tableColumn id="3" name="Role"/>
    <tableColumn id="4" name="Status"/>
    <tableColumn id="5" name="Round"/>
    <tableColumn id="6" name="Priority"/>
    <tableColumn id="7" name="Target Co."/>
    <tableColumn id="8" name="Warm Path"/>
    <tableColumn id="9" name="Target Comp"/>
    <tableColumn id="10" name="Score"/>
    <tableColumn id="11" name="Applied"/>
    <tableColumn id="12" name="Last Touch"/>
    <tableColumn id="13" name="Follow-Up Due"/>
    <tableColumn id="14" name="Days Open"/>
    <tableColumn id="15" name="Status Risk"/>
    <tableColumn id="16" name="Hiring Mgr / Recruiter"/>
    <tableColumn id="17" name="Referral / Champion"/>
    <tableColumn id="18" name="Why This Role"/>
    <tableColumn id="19" name="Key Ris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C3557"/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2" customWidth="1" min="3" max="3"/>
  </cols>
  <sheetData>
    <row r="2" ht="32" customHeight="1">
      <c r="B2" s="1" t="inlineStr">
        <is>
          <t>Job Search Control Room</t>
        </is>
      </c>
    </row>
    <row r="3">
      <c r="B3" s="2" t="inlineStr">
        <is>
          <t>Manage your search like an operating system — not a panic response. Track opportunity paths, not just applications.</t>
        </is>
      </c>
    </row>
    <row r="4">
      <c r="B4" s="3" t="inlineStr"/>
      <c r="C4" s="4" t="inlineStr"/>
    </row>
    <row r="5">
      <c r="B5" s="5" t="inlineStr">
        <is>
          <t>Sheet</t>
        </is>
      </c>
      <c r="C5" s="6" t="inlineStr">
        <is>
          <t>Purpose</t>
        </is>
      </c>
    </row>
    <row r="6">
      <c r="B6" s="3" t="inlineStr">
        <is>
          <t>Dashboard</t>
        </is>
      </c>
      <c r="C6" s="4" t="inlineStr">
        <is>
          <t>Live pipeline health — totals, interviews, follow-ups, stale roles, offers</t>
        </is>
      </c>
    </row>
    <row r="7">
      <c r="B7" s="7" t="inlineStr">
        <is>
          <t>Tracker</t>
        </is>
      </c>
      <c r="C7" s="8" t="inlineStr">
        <is>
          <t>Full log: warm path, comp, round, panel, risks, status risk, and decision notes</t>
        </is>
      </c>
    </row>
    <row r="8">
      <c r="B8" s="3" t="inlineStr"/>
      <c r="C8" s="4" t="inlineStr"/>
    </row>
    <row r="9">
      <c r="B9" s="9" t="inlineStr">
        <is>
          <t>Core Principle</t>
        </is>
      </c>
    </row>
    <row r="10">
      <c r="B10" s="3" t="inlineStr">
        <is>
          <t>Track opportunity paths — not just applications. A referral, a warm intro, and a cold apply are three different beasts. Treat them differently.</t>
        </is>
      </c>
      <c r="C10" s="4" t="inlineStr"/>
    </row>
    <row r="11">
      <c r="B11" s="7" t="inlineStr"/>
      <c r="C11" s="8" t="inlineStr"/>
    </row>
    <row r="12">
      <c r="B12" s="9" t="inlineStr">
        <is>
          <t>How to Use</t>
        </is>
      </c>
    </row>
    <row r="13">
      <c r="B13" s="7" t="inlineStr">
        <is>
          <t>Update Status after every call, screen, or interview.</t>
        </is>
      </c>
      <c r="C13" s="8" t="inlineStr"/>
    </row>
    <row r="14">
      <c r="B14" s="3" t="inlineStr">
        <is>
          <t>Set Follow-Up Due every time you touch a role.</t>
        </is>
      </c>
      <c r="C14" s="4" t="inlineStr"/>
    </row>
    <row r="15">
      <c r="B15" s="7" t="inlineStr">
        <is>
          <t>Use Key Risks to force honest thinking about each opportunity.</t>
        </is>
      </c>
      <c r="C15" s="8" t="inlineStr"/>
    </row>
    <row r="16">
      <c r="B16" s="3" t="inlineStr">
        <is>
          <t>Use Why This Role to keep your story sharp.</t>
        </is>
      </c>
      <c r="C16" s="4" t="inlineStr"/>
    </row>
    <row r="17">
      <c r="B17" s="7" t="inlineStr">
        <is>
          <t>Use Decision Notes when choosing between final-round offers.</t>
        </is>
      </c>
      <c r="C17" s="8" t="inlineStr"/>
    </row>
  </sheetData>
  <mergeCells count="4">
    <mergeCell ref="B9:C9"/>
    <mergeCell ref="B3:C3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8A"/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2" customHeight="1">
      <c r="B2" s="1" t="inlineStr">
        <is>
          <t>Pipeline Health Dashboard</t>
        </is>
      </c>
    </row>
    <row r="3">
      <c r="B3" s="2" t="inlineStr">
        <is>
          <t>Updates automatically when you edit the Tracker tab.</t>
        </is>
      </c>
    </row>
    <row r="5" ht="24" customHeight="1">
      <c r="B5" s="10" t="inlineStr">
        <is>
          <t>Total Roles</t>
        </is>
      </c>
      <c r="C5" s="10" t="inlineStr">
        <is>
          <t>Interviewing</t>
        </is>
      </c>
      <c r="D5" s="10" t="inlineStr">
        <is>
          <t>Follow-Up Due</t>
        </is>
      </c>
      <c r="E5" s="10" t="inlineStr">
        <is>
          <t>Stale (&gt;14 days)</t>
        </is>
      </c>
      <c r="F5" s="10" t="inlineStr">
        <is>
          <t>High Priority</t>
        </is>
      </c>
      <c r="G5" s="10" t="inlineStr">
        <is>
          <t>Offers</t>
        </is>
      </c>
    </row>
    <row r="6" ht="42" customHeight="1">
      <c r="B6" s="11">
        <f>COUNTA(JobTracker[Company])</f>
        <v/>
      </c>
      <c r="C6" s="11">
        <f>COUNTIF(JobTracker[Status],"Interviewing")+COUNTIF(JobTracker[Status],"Final Round")+COUNTIF(JobTracker[Status],"Recruiter Screen")</f>
        <v/>
      </c>
      <c r="D6" s="11">
        <f>COUNTIFS(JobTracker[Follow-Up Due],"&lt;="&amp;TODAY(),JobTracker[Status],"&lt;&gt;Rejected",JobTracker[Status],"&lt;&gt;Withdrawn",JobTracker[Status],"&lt;&gt;Offer")</f>
        <v/>
      </c>
      <c r="E6" s="11">
        <f>COUNTIF(JobTracker[Days Open],"&gt;14")-COUNTIF(JobTracker[Status],"Rejected")-COUNTIF(JobTracker[Status],"Withdrawn")</f>
        <v/>
      </c>
      <c r="F6" s="11">
        <f>COUNTIF(JobTracker[Priority],"High")</f>
        <v/>
      </c>
      <c r="G6" s="11">
        <f>COUNTIF(JobTracker[Status],"Offer")</f>
        <v/>
      </c>
    </row>
    <row r="9">
      <c r="B9" s="5" t="inlineStr">
        <is>
          <t>Status Breakdown</t>
        </is>
      </c>
      <c r="D9" s="5" t="inlineStr">
        <is>
          <t>Count</t>
        </is>
      </c>
      <c r="F9" s="5" t="inlineStr">
        <is>
          <t>Priority Split</t>
        </is>
      </c>
      <c r="H9" s="5" t="inlineStr">
        <is>
          <t>Count</t>
        </is>
      </c>
    </row>
    <row r="10">
      <c r="B10" s="12" t="inlineStr">
        <is>
          <t>Wishlist</t>
        </is>
      </c>
      <c r="D10" s="13">
        <f>COUNTIF(JobTracker[Status],"Wishlist")</f>
        <v/>
      </c>
      <c r="F10" s="14" t="inlineStr">
        <is>
          <t>High</t>
        </is>
      </c>
      <c r="H10" s="15">
        <f>COUNTIF(JobTracker[Priority],"High")</f>
        <v/>
      </c>
    </row>
    <row r="11">
      <c r="B11" s="14" t="inlineStr">
        <is>
          <t>Applied</t>
        </is>
      </c>
      <c r="D11" s="15">
        <f>COUNTIF(JobTracker[Status],"Applied")</f>
        <v/>
      </c>
      <c r="F11" s="14" t="inlineStr">
        <is>
          <t>Medium</t>
        </is>
      </c>
      <c r="H11" s="15">
        <f>COUNTIF(JobTracker[Priority],"Medium")</f>
        <v/>
      </c>
    </row>
    <row r="12">
      <c r="B12" s="12" t="inlineStr">
        <is>
          <t>Networking</t>
        </is>
      </c>
      <c r="D12" s="13">
        <f>COUNTIF(JobTracker[Status],"Networking")</f>
        <v/>
      </c>
      <c r="F12" s="14" t="inlineStr">
        <is>
          <t>Low</t>
        </is>
      </c>
      <c r="H12" s="15">
        <f>COUNTIF(JobTracker[Priority],"Low")</f>
        <v/>
      </c>
    </row>
    <row r="13">
      <c r="B13" s="14" t="inlineStr">
        <is>
          <t>Recruiter Screen</t>
        </is>
      </c>
      <c r="D13" s="15">
        <f>COUNTIF(JobTracker[Status],"Recruiter Screen")</f>
        <v/>
      </c>
    </row>
    <row r="14">
      <c r="B14" s="12" t="inlineStr">
        <is>
          <t>Interviewing</t>
        </is>
      </c>
      <c r="D14" s="13">
        <f>COUNTIF(JobTracker[Status],"Interviewing")</f>
        <v/>
      </c>
    </row>
    <row r="15">
      <c r="B15" s="14" t="inlineStr">
        <is>
          <t>Final Round</t>
        </is>
      </c>
      <c r="D15" s="15">
        <f>COUNTIF(JobTracker[Status],"Final Round")</f>
        <v/>
      </c>
    </row>
    <row r="16">
      <c r="B16" s="12" t="inlineStr">
        <is>
          <t>Offer</t>
        </is>
      </c>
      <c r="D16" s="13">
        <f>COUNTIF(JobTracker[Status],"Offer")</f>
        <v/>
      </c>
    </row>
    <row r="17">
      <c r="B17" s="14" t="inlineStr">
        <is>
          <t>On Hold</t>
        </is>
      </c>
      <c r="D17" s="15">
        <f>COUNTIF(JobTracker[Status],"On Hold")</f>
        <v/>
      </c>
    </row>
    <row r="18">
      <c r="B18" s="12" t="inlineStr">
        <is>
          <t>Rejected</t>
        </is>
      </c>
      <c r="D18" s="13">
        <f>COUNTIF(JobTracker[Status],"Rejected")</f>
        <v/>
      </c>
    </row>
    <row r="19">
      <c r="B19" s="14" t="inlineStr">
        <is>
          <t>Withdrawn</t>
        </is>
      </c>
      <c r="D19" s="15">
        <f>COUNTIF(JobTracker[Status],"Withdrawn")</f>
        <v/>
      </c>
    </row>
  </sheetData>
  <mergeCells count="17">
    <mergeCell ref="B13:C13"/>
    <mergeCell ref="F11:G11"/>
    <mergeCell ref="B16:C16"/>
    <mergeCell ref="F12:G12"/>
    <mergeCell ref="B15:C15"/>
    <mergeCell ref="B11:C11"/>
    <mergeCell ref="F9:G9"/>
    <mergeCell ref="F10:G10"/>
    <mergeCell ref="B19:C19"/>
    <mergeCell ref="B10:C10"/>
    <mergeCell ref="B2:H2"/>
    <mergeCell ref="B14:C14"/>
    <mergeCell ref="B17:C17"/>
    <mergeCell ref="B9:C9"/>
    <mergeCell ref="B3:H3"/>
    <mergeCell ref="B18:C18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145"/>
    <outlinePr summaryBelow="1" summaryRight="1"/>
    <pageSetUpPr/>
  </sheetPr>
  <dimension ref="B2:T2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6" customWidth="1" min="3" max="3"/>
    <col width="14" customWidth="1" min="4" max="4"/>
    <col width="9" customWidth="1" min="5" max="5"/>
    <col width="10" customWidth="1" min="6" max="6"/>
    <col width="12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1" customWidth="1" min="13" max="13"/>
    <col width="14" customWidth="1" min="14" max="14"/>
    <col width="26" customWidth="1" min="15" max="15"/>
    <col width="26" customWidth="1" min="16" max="16"/>
    <col width="28" customWidth="1" min="17" max="17"/>
    <col width="26" customWidth="1" min="18" max="18"/>
    <col width="24" customWidth="1" min="19" max="19"/>
  </cols>
  <sheetData>
    <row r="2" ht="32" customHeight="1">
      <c r="B2" s="1" t="inlineStr">
        <is>
          <t>Job Search Tracker</t>
        </is>
      </c>
    </row>
    <row r="3">
      <c r="B3" s="2" t="inlineStr">
        <is>
          <t>One row per role. Update after every touchpoint. The pipeline only works if it reflects reality.</t>
        </is>
      </c>
    </row>
    <row r="8" ht="28" customHeight="1">
      <c r="B8" s="10" t="inlineStr">
        <is>
          <t>Company</t>
        </is>
      </c>
      <c r="C8" s="10" t="inlineStr">
        <is>
          <t>Role</t>
        </is>
      </c>
      <c r="D8" s="10" t="inlineStr">
        <is>
          <t>Status</t>
        </is>
      </c>
      <c r="E8" s="10" t="inlineStr">
        <is>
          <t>Round</t>
        </is>
      </c>
      <c r="F8" s="10" t="inlineStr">
        <is>
          <t>Priority</t>
        </is>
      </c>
      <c r="G8" s="10" t="inlineStr">
        <is>
          <t>Target Co.</t>
        </is>
      </c>
      <c r="H8" s="10" t="inlineStr">
        <is>
          <t>Warm Path</t>
        </is>
      </c>
      <c r="I8" s="10" t="inlineStr">
        <is>
          <t>Target Comp</t>
        </is>
      </c>
      <c r="J8" s="10" t="inlineStr">
        <is>
          <t>Score</t>
        </is>
      </c>
      <c r="K8" s="10" t="inlineStr">
        <is>
          <t>Applied</t>
        </is>
      </c>
      <c r="L8" s="10" t="inlineStr">
        <is>
          <t>Last Touch</t>
        </is>
      </c>
      <c r="M8" s="10" t="inlineStr">
        <is>
          <t>Follow-Up Due</t>
        </is>
      </c>
      <c r="N8" s="10" t="inlineStr">
        <is>
          <t>Days Open</t>
        </is>
      </c>
      <c r="O8" s="10" t="inlineStr">
        <is>
          <t>Status Risk</t>
        </is>
      </c>
      <c r="P8" s="10" t="inlineStr">
        <is>
          <t>Hiring Mgr / Recruiter</t>
        </is>
      </c>
      <c r="Q8" s="10" t="inlineStr">
        <is>
          <t>Referral / Champion</t>
        </is>
      </c>
      <c r="R8" s="10" t="inlineStr">
        <is>
          <t>Why This Role</t>
        </is>
      </c>
      <c r="S8" s="10" t="inlineStr">
        <is>
          <t>Key Risks</t>
        </is>
      </c>
      <c r="T8" s="10" t="inlineStr">
        <is>
          <t>Decision Notes</t>
        </is>
      </c>
    </row>
    <row r="9" ht="36" customHeight="1">
      <c r="B9" s="7" t="inlineStr">
        <is>
          <t>Apex Systems</t>
        </is>
      </c>
      <c r="C9" s="7" t="inlineStr">
        <is>
          <t>Director, GRC</t>
        </is>
      </c>
      <c r="D9" s="7" t="inlineStr">
        <is>
          <t>Final Round</t>
        </is>
      </c>
      <c r="E9" s="15" t="n">
        <v>4</v>
      </c>
      <c r="F9" s="7" t="inlineStr">
        <is>
          <t>High</t>
        </is>
      </c>
      <c r="G9" s="15" t="inlineStr">
        <is>
          <t>Yes</t>
        </is>
      </c>
      <c r="H9" s="7" t="inlineStr">
        <is>
          <t>Referral</t>
        </is>
      </c>
      <c r="I9" s="15" t="inlineStr">
        <is>
          <t>$220k–$250k</t>
        </is>
      </c>
      <c r="J9" s="7" t="n">
        <v>9</v>
      </c>
      <c r="K9" s="16" t="inlineStr">
        <is>
          <t>4/10/2026</t>
        </is>
      </c>
      <c r="L9" s="16" t="inlineStr">
        <is>
          <t>5/18/2026</t>
        </is>
      </c>
      <c r="M9" s="16">
        <f>IF(K9="","",TODAY()-K9)</f>
        <v/>
      </c>
      <c r="N9" s="17">
        <f>IF(L9="","",IF(L9&lt;=TODAY(),"⚠ Follow-Up Due",IF(TODAY()-K9&gt;14,"⚠ Stale","✓ Current")))</f>
        <v/>
      </c>
      <c r="O9" s="15" t="n"/>
      <c r="P9" s="8" t="inlineStr">
        <is>
          <t>Dana Forsythe</t>
        </is>
      </c>
      <c r="Q9" s="8" t="inlineStr">
        <is>
          <t>Internal champion</t>
        </is>
      </c>
      <c r="R9" s="8" t="inlineStr">
        <is>
          <t>Strong GRC leadership scope; scaling story aligns</t>
        </is>
      </c>
      <c r="S9" s="8" t="inlineStr">
        <is>
          <t>Need sharper exec narrative on team size</t>
        </is>
      </c>
      <c r="T9" s="8" t="inlineStr">
        <is>
          <t>Top 3 role — stay sharp and responsive</t>
        </is>
      </c>
    </row>
    <row r="10" ht="36" customHeight="1">
      <c r="B10" s="7" t="inlineStr">
        <is>
          <t>Nova Labs</t>
        </is>
      </c>
      <c r="C10" s="7" t="inlineStr">
        <is>
          <t>Security Manager</t>
        </is>
      </c>
      <c r="D10" s="7" t="inlineStr">
        <is>
          <t>Interviewing</t>
        </is>
      </c>
      <c r="E10" s="15" t="n">
        <v>2</v>
      </c>
      <c r="F10" s="7" t="inlineStr">
        <is>
          <t>High</t>
        </is>
      </c>
      <c r="G10" s="15" t="inlineStr">
        <is>
          <t>Yes</t>
        </is>
      </c>
      <c r="H10" s="7" t="inlineStr">
        <is>
          <t>Referral</t>
        </is>
      </c>
      <c r="I10" s="15" t="inlineStr">
        <is>
          <t>$240k–$300k</t>
        </is>
      </c>
      <c r="J10" s="7" t="n">
        <v>8</v>
      </c>
      <c r="K10" s="16" t="inlineStr">
        <is>
          <t>4/22/2026</t>
        </is>
      </c>
      <c r="L10" s="16" t="inlineStr">
        <is>
          <t>5/19/2026</t>
        </is>
      </c>
      <c r="M10" s="16">
        <f>IF(K10="","",TODAY()-K10)</f>
        <v/>
      </c>
      <c r="N10" s="17">
        <f>IF(L10="","",IF(L10&lt;=TODAY(),"⚠ Follow-Up Due",IF(TODAY()-K10&gt;14,"⚠ Stale","✓ Current")))</f>
        <v/>
      </c>
      <c r="O10" s="15" t="n"/>
      <c r="P10" s="8" t="inlineStr">
        <is>
          <t>Marcus Webb</t>
        </is>
      </c>
      <c r="Q10" s="8" t="inlineStr">
        <is>
          <t>Jordan Ellis referral</t>
        </is>
      </c>
      <c r="R10" s="8" t="inlineStr">
        <is>
          <t>Brand + scope + leadership path all align</t>
        </is>
      </c>
      <c r="S10" s="8" t="inlineStr">
        <is>
          <t>Need stronger product/security partnership examples</t>
        </is>
      </c>
      <c r="T10" s="8" t="inlineStr">
        <is>
          <t>High upside; expect competitive process</t>
        </is>
      </c>
    </row>
    <row r="11" ht="36" customHeight="1">
      <c r="B11" s="7" t="inlineStr">
        <is>
          <t>Crestline Co.</t>
        </is>
      </c>
      <c r="C11" s="7" t="inlineStr">
        <is>
          <t>Sr Manager GRC</t>
        </is>
      </c>
      <c r="D11" s="7" t="inlineStr">
        <is>
          <t>Recruiter Screen</t>
        </is>
      </c>
      <c r="E11" s="15" t="n">
        <v>1</v>
      </c>
      <c r="F11" s="7" t="inlineStr">
        <is>
          <t>High</t>
        </is>
      </c>
      <c r="G11" s="15" t="inlineStr">
        <is>
          <t>Yes</t>
        </is>
      </c>
      <c r="H11" s="7" t="inlineStr">
        <is>
          <t>Warm intro</t>
        </is>
      </c>
      <c r="I11" s="15" t="inlineStr">
        <is>
          <t>$210k–$240k</t>
        </is>
      </c>
      <c r="J11" s="7" t="n">
        <v>8</v>
      </c>
      <c r="K11" s="16" t="inlineStr">
        <is>
          <t>5/01/2026</t>
        </is>
      </c>
      <c r="L11" s="16" t="inlineStr">
        <is>
          <t>5/12/2026</t>
        </is>
      </c>
      <c r="M11" s="16">
        <f>IF(K11="","",TODAY()-K11)</f>
        <v/>
      </c>
      <c r="N11" s="17">
        <f>IF(L11="","",IF(L11&lt;=TODAY(),"⚠ Follow-Up Due",IF(TODAY()-K11&gt;14,"⚠ Stale","✓ Current")))</f>
        <v/>
      </c>
      <c r="O11" s="15" t="n"/>
      <c r="P11" s="8" t="inlineStr">
        <is>
          <t>Taylor Kim</t>
        </is>
      </c>
      <c r="Q11" s="8" t="inlineStr">
        <is>
          <t>None yet</t>
        </is>
      </c>
      <c r="R11" s="8" t="inlineStr">
        <is>
          <t>Strong domain fit and leadership scope</t>
        </is>
      </c>
      <c r="S11" s="8" t="inlineStr">
        <is>
          <t>Need better consumer-tech narrative</t>
        </is>
      </c>
      <c r="T11" s="8" t="inlineStr">
        <is>
          <t>Good role if team leadership is confirmed</t>
        </is>
      </c>
    </row>
    <row r="12" ht="36" customHeight="1">
      <c r="B12" s="7" t="inlineStr">
        <is>
          <t>Meridian HQ</t>
        </is>
      </c>
      <c r="C12" s="7" t="inlineStr">
        <is>
          <t>Security Program Lead</t>
        </is>
      </c>
      <c r="D12" s="7" t="inlineStr">
        <is>
          <t>Applied</t>
        </is>
      </c>
      <c r="E12" s="15" t="n">
        <v>0</v>
      </c>
      <c r="F12" s="7" t="inlineStr">
        <is>
          <t>High</t>
        </is>
      </c>
      <c r="G12" s="15" t="inlineStr">
        <is>
          <t>Yes</t>
        </is>
      </c>
      <c r="H12" s="7" t="inlineStr">
        <is>
          <t>Cold apply</t>
        </is>
      </c>
      <c r="I12" s="15" t="inlineStr">
        <is>
          <t>$215k–$245k</t>
        </is>
      </c>
      <c r="J12" s="7" t="n">
        <v>8</v>
      </c>
      <c r="K12" s="16" t="inlineStr">
        <is>
          <t>5/05/2026</t>
        </is>
      </c>
      <c r="L12" s="16" t="inlineStr">
        <is>
          <t>5/05/2026</t>
        </is>
      </c>
      <c r="M12" s="16">
        <f>IF(K12="","",TODAY()-K12)</f>
        <v/>
      </c>
      <c r="N12" s="17">
        <f>IF(L12="","",IF(L12&lt;=TODAY(),"⚠ Follow-Up Due",IF(TODAY()-K12&gt;14,"⚠ Stale","✓ Current")))</f>
        <v/>
      </c>
      <c r="O12" s="15" t="n"/>
      <c r="P12" s="8" t="inlineStr">
        <is>
          <t>TBD</t>
        </is>
      </c>
      <c r="Q12" s="8" t="inlineStr">
        <is>
          <t>Need champion</t>
        </is>
      </c>
      <c r="R12" s="8" t="inlineStr">
        <is>
          <t>Mission and operating model are compelling</t>
        </is>
      </c>
      <c r="S12" s="8" t="inlineStr">
        <is>
          <t>No signal yet; cold apply risk</t>
        </is>
      </c>
      <c r="T12" s="8" t="inlineStr">
        <is>
          <t>High-interest — locate recruiter and activate network</t>
        </is>
      </c>
    </row>
    <row r="13" ht="36" customHeight="1">
      <c r="B13" s="7" t="inlineStr">
        <is>
          <t>Vantage Group</t>
        </is>
      </c>
      <c r="C13" s="7" t="inlineStr">
        <is>
          <t>Director, Governance</t>
        </is>
      </c>
      <c r="D13" s="7" t="inlineStr">
        <is>
          <t>Interviewing</t>
        </is>
      </c>
      <c r="E13" s="15" t="n">
        <v>5</v>
      </c>
      <c r="F13" s="7" t="inlineStr">
        <is>
          <t>High</t>
        </is>
      </c>
      <c r="G13" s="15" t="inlineStr">
        <is>
          <t>No</t>
        </is>
      </c>
      <c r="H13" s="7" t="inlineStr">
        <is>
          <t>Referral</t>
        </is>
      </c>
      <c r="I13" s="15" t="inlineStr">
        <is>
          <t>$200k–$230k</t>
        </is>
      </c>
      <c r="J13" s="7" t="n">
        <v>8</v>
      </c>
      <c r="K13" s="16" t="inlineStr">
        <is>
          <t>3/28/2026</t>
        </is>
      </c>
      <c r="L13" s="16" t="inlineStr">
        <is>
          <t>5/15/2026</t>
        </is>
      </c>
      <c r="M13" s="16">
        <f>IF(K13="","",TODAY()-K13)</f>
        <v/>
      </c>
      <c r="N13" s="17">
        <f>IF(L13="","",IF(L13&lt;=TODAY(),"⚠ Follow-Up Due",IF(TODAY()-K13&gt;14,"⚠ Stale","✓ Current")))</f>
        <v/>
      </c>
      <c r="O13" s="15" t="n"/>
      <c r="P13" s="8" t="inlineStr">
        <is>
          <t>Riley Nguyen</t>
        </is>
      </c>
      <c r="Q13" s="8" t="inlineStr">
        <is>
          <t>Internal contact</t>
        </is>
      </c>
      <c r="R13" s="8" t="inlineStr">
        <is>
          <t>Director scope and governance mandate fit well</t>
        </is>
      </c>
      <c r="S13" s="8" t="inlineStr">
        <is>
          <t>Late stage; need to close strong</t>
        </is>
      </c>
      <c r="T13" s="8" t="inlineStr">
        <is>
          <t>5 rounds in — prepare decisive close stories</t>
        </is>
      </c>
    </row>
    <row r="14" ht="36" customHeight="1">
      <c r="B14" s="7" t="inlineStr">
        <is>
          <t>Blueshift Inc.</t>
        </is>
      </c>
      <c r="C14" s="7" t="inlineStr">
        <is>
          <t>GRC Lead</t>
        </is>
      </c>
      <c r="D14" s="7" t="inlineStr">
        <is>
          <t>Interviewing</t>
        </is>
      </c>
      <c r="E14" s="15" t="n">
        <v>4</v>
      </c>
      <c r="F14" s="7" t="inlineStr">
        <is>
          <t>Medium</t>
        </is>
      </c>
      <c r="G14" s="15" t="inlineStr">
        <is>
          <t>No</t>
        </is>
      </c>
      <c r="H14" s="7" t="inlineStr">
        <is>
          <t>Warm intro</t>
        </is>
      </c>
      <c r="I14" s="15" t="inlineStr">
        <is>
          <t>$210k–$235k</t>
        </is>
      </c>
      <c r="J14" s="7" t="n">
        <v>7</v>
      </c>
      <c r="K14" s="16" t="inlineStr">
        <is>
          <t>4/03/2026</t>
        </is>
      </c>
      <c r="L14" s="16" t="inlineStr">
        <is>
          <t>5/15/2026</t>
        </is>
      </c>
      <c r="M14" s="16">
        <f>IF(K14="","",TODAY()-K14)</f>
        <v/>
      </c>
      <c r="N14" s="17">
        <f>IF(L14="","",IF(L14&lt;=TODAY(),"⚠ Follow-Up Due",IF(TODAY()-K14&gt;14,"⚠ Stale","✓ Current")))</f>
        <v/>
      </c>
      <c r="O14" s="15" t="n"/>
      <c r="P14" s="8" t="inlineStr">
        <is>
          <t>Cameron Price</t>
        </is>
      </c>
      <c r="Q14" s="8" t="inlineStr">
        <is>
          <t>None</t>
        </is>
      </c>
      <c r="R14" s="8" t="inlineStr">
        <is>
          <t>Solid SaaS fit and manageable scope</t>
        </is>
      </c>
      <c r="S14" s="8" t="inlineStr">
        <is>
          <t>Need clearer exec-level impact stories</t>
        </is>
      </c>
      <c r="T14" s="8" t="inlineStr">
        <is>
          <t>Worth pursuing — don't over-invest vs. top roles</t>
        </is>
      </c>
    </row>
    <row r="15" ht="36" customHeight="1">
      <c r="B15" s="7" t="inlineStr">
        <is>
          <t>Orion Digital</t>
        </is>
      </c>
      <c r="C15" s="7" t="inlineStr">
        <is>
          <t>TPM, Product Security</t>
        </is>
      </c>
      <c r="D15" s="7" t="inlineStr">
        <is>
          <t>Interviewing</t>
        </is>
      </c>
      <c r="E15" s="15" t="n">
        <v>2</v>
      </c>
      <c r="F15" s="7" t="inlineStr">
        <is>
          <t>Medium</t>
        </is>
      </c>
      <c r="G15" s="15" t="inlineStr">
        <is>
          <t>No</t>
        </is>
      </c>
      <c r="H15" s="7" t="inlineStr">
        <is>
          <t>Cold apply</t>
        </is>
      </c>
      <c r="I15" s="15" t="inlineStr">
        <is>
          <t>$200k–$230k</t>
        </is>
      </c>
      <c r="J15" s="7" t="n">
        <v>7</v>
      </c>
      <c r="K15" s="16" t="inlineStr">
        <is>
          <t>4/15/2026</t>
        </is>
      </c>
      <c r="L15" s="16" t="inlineStr">
        <is>
          <t>5/16/2026</t>
        </is>
      </c>
      <c r="M15" s="16">
        <f>IF(K15="","",TODAY()-K15)</f>
        <v/>
      </c>
      <c r="N15" s="17">
        <f>IF(L15="","",IF(L15&lt;=TODAY(),"⚠ Follow-Up Due",IF(TODAY()-K15&gt;14,"⚠ Stale","✓ Current")))</f>
        <v/>
      </c>
      <c r="O15" s="15" t="n"/>
      <c r="P15" s="8" t="inlineStr">
        <is>
          <t>Alex Torres</t>
        </is>
      </c>
      <c r="Q15" s="8" t="inlineStr">
        <is>
          <t>Unknown</t>
        </is>
      </c>
      <c r="R15" s="8" t="inlineStr">
        <is>
          <t>Adjacent experience and credible story</t>
        </is>
      </c>
      <c r="S15" s="8" t="inlineStr">
        <is>
          <t>Role clarity fuzzy; scope may not be right</t>
        </is>
      </c>
      <c r="T15" s="8" t="inlineStr">
        <is>
          <t>Clarify org design before investing further</t>
        </is>
      </c>
    </row>
    <row r="16" ht="36" customHeight="1">
      <c r="B16" s="7" t="inlineStr">
        <is>
          <t>Fortis Cloud</t>
        </is>
      </c>
      <c r="C16" s="7" t="inlineStr">
        <is>
          <t>Sr Security Assurance</t>
        </is>
      </c>
      <c r="D16" s="7" t="inlineStr">
        <is>
          <t>On Hold</t>
        </is>
      </c>
      <c r="E16" s="15" t="n">
        <v>8</v>
      </c>
      <c r="F16" s="7" t="inlineStr">
        <is>
          <t>Medium</t>
        </is>
      </c>
      <c r="G16" s="15" t="inlineStr">
        <is>
          <t>Yes</t>
        </is>
      </c>
      <c r="H16" s="7" t="inlineStr">
        <is>
          <t>Referral</t>
        </is>
      </c>
      <c r="I16" s="15" t="inlineStr">
        <is>
          <t>$230k–$270k</t>
        </is>
      </c>
      <c r="J16" s="7" t="n">
        <v>6</v>
      </c>
      <c r="K16" s="16" t="inlineStr">
        <is>
          <t>3/11/2026</t>
        </is>
      </c>
      <c r="L16" s="16" t="inlineStr">
        <is>
          <t>5/02/2026</t>
        </is>
      </c>
      <c r="M16" s="16">
        <f>IF(K16="","",TODAY()-K16)</f>
        <v/>
      </c>
      <c r="N16" s="17">
        <f>IF(L16="","",IF(L16&lt;=TODAY(),"⚠ Follow-Up Due",IF(TODAY()-K16&gt;14,"⚠ Stale","✓ Current")))</f>
        <v/>
      </c>
      <c r="O16" s="15" t="n"/>
      <c r="P16" s="8" t="inlineStr">
        <is>
          <t>Panel TBD</t>
        </is>
      </c>
      <c r="Q16" s="8" t="inlineStr">
        <is>
          <t>Pending reference</t>
        </is>
      </c>
      <c r="R16" s="8" t="inlineStr">
        <is>
          <t>Comp and scale are attractive</t>
        </is>
      </c>
      <c r="S16" s="8" t="inlineStr">
        <is>
          <t>Long process fatigue; unclear momentum</t>
        </is>
      </c>
      <c r="T16" s="8" t="inlineStr">
        <is>
          <t>Cap time invested; decide to re-engage or cut</t>
        </is>
      </c>
    </row>
    <row r="17" ht="36" customHeight="1">
      <c r="B17" s="7" t="inlineStr">
        <is>
          <t>Lynx Ventures</t>
        </is>
      </c>
      <c r="C17" s="7" t="inlineStr">
        <is>
          <t>Security Lead</t>
        </is>
      </c>
      <c r="D17" s="7" t="inlineStr">
        <is>
          <t>Interviewing</t>
        </is>
      </c>
      <c r="E17" s="15" t="n">
        <v>5</v>
      </c>
      <c r="F17" s="7" t="inlineStr">
        <is>
          <t>Medium</t>
        </is>
      </c>
      <c r="G17" s="15" t="inlineStr">
        <is>
          <t>No</t>
        </is>
      </c>
      <c r="H17" s="7" t="inlineStr">
        <is>
          <t>Cold apply</t>
        </is>
      </c>
      <c r="I17" s="15" t="inlineStr">
        <is>
          <t>$190k–$215k</t>
        </is>
      </c>
      <c r="J17" s="7" t="n">
        <v>6</v>
      </c>
      <c r="K17" s="16" t="inlineStr">
        <is>
          <t>3/20/2026</t>
        </is>
      </c>
      <c r="L17" s="16" t="inlineStr">
        <is>
          <t>5/10/2026</t>
        </is>
      </c>
      <c r="M17" s="16">
        <f>IF(K17="","",TODAY()-K17)</f>
        <v/>
      </c>
      <c r="N17" s="17">
        <f>IF(L17="","",IF(L17&lt;=TODAY(),"⚠ Follow-Up Due",IF(TODAY()-K17&gt;14,"⚠ Stale","✓ Current")))</f>
        <v/>
      </c>
      <c r="O17" s="15" t="n"/>
      <c r="P17" s="8" t="inlineStr">
        <is>
          <t>Morgan Shaw</t>
        </is>
      </c>
      <c r="Q17" s="8" t="inlineStr">
        <is>
          <t>None</t>
        </is>
      </c>
      <c r="R17" s="8" t="inlineStr">
        <is>
          <t>Interesting compliance scope at growth-stage firm</t>
        </is>
      </c>
      <c r="S17" s="8" t="inlineStr">
        <is>
          <t>Smaller brand and uncertain growth path</t>
        </is>
      </c>
      <c r="T17" s="8" t="inlineStr">
        <is>
          <t>Evaluate comp and leadership scope carefully</t>
        </is>
      </c>
    </row>
    <row r="18" ht="36" customHeight="1">
      <c r="B18" s="7" t="inlineStr">
        <is>
          <t>Stratos Corp</t>
        </is>
      </c>
      <c r="C18" s="7" t="inlineStr">
        <is>
          <t>Risk Manager</t>
        </is>
      </c>
      <c r="D18" s="7" t="inlineStr">
        <is>
          <t>Interviewing</t>
        </is>
      </c>
      <c r="E18" s="15" t="n">
        <v>2</v>
      </c>
      <c r="F18" s="7" t="inlineStr">
        <is>
          <t>Medium</t>
        </is>
      </c>
      <c r="G18" s="15" t="inlineStr">
        <is>
          <t>Yes</t>
        </is>
      </c>
      <c r="H18" s="7" t="inlineStr">
        <is>
          <t>Referral</t>
        </is>
      </c>
      <c r="I18" s="15" t="inlineStr">
        <is>
          <t>$195k–$220k</t>
        </is>
      </c>
      <c r="J18" s="7" t="n">
        <v>7</v>
      </c>
      <c r="K18" s="16" t="inlineStr">
        <is>
          <t>4/28/2026</t>
        </is>
      </c>
      <c r="L18" s="16" t="inlineStr">
        <is>
          <t>5/13/2026</t>
        </is>
      </c>
      <c r="M18" s="16">
        <f>IF(K18="","",TODAY()-K18)</f>
        <v/>
      </c>
      <c r="N18" s="17">
        <f>IF(L18="","",IF(L18&lt;=TODAY(),"⚠ Follow-Up Due",IF(TODAY()-K18&gt;14,"⚠ Stale","✓ Current")))</f>
        <v/>
      </c>
      <c r="O18" s="15" t="n"/>
      <c r="P18" s="8" t="inlineStr">
        <is>
          <t>Jamie Okafor</t>
        </is>
      </c>
      <c r="Q18" s="8" t="inlineStr">
        <is>
          <t>Internal referral</t>
        </is>
      </c>
      <c r="R18" s="8" t="inlineStr">
        <is>
          <t>Enterprise scope and mission are compelling</t>
        </is>
      </c>
      <c r="S18" s="8" t="inlineStr">
        <is>
          <t>Regulated-industry pace may slow decisions</t>
        </is>
      </c>
      <c r="T18" s="8" t="inlineStr">
        <is>
          <t>Stay engaged; referral is a real asset here</t>
        </is>
      </c>
    </row>
    <row r="19" ht="36" customHeight="1">
      <c r="B19" s="7" t="inlineStr">
        <is>
          <t>Lumio Health</t>
        </is>
      </c>
      <c r="C19" s="7" t="inlineStr">
        <is>
          <t>Security Manager</t>
        </is>
      </c>
      <c r="D19" s="7" t="inlineStr">
        <is>
          <t>Interviewing</t>
        </is>
      </c>
      <c r="E19" s="15" t="n">
        <v>3</v>
      </c>
      <c r="F19" s="7" t="inlineStr">
        <is>
          <t>Medium</t>
        </is>
      </c>
      <c r="G19" s="15" t="inlineStr">
        <is>
          <t>No</t>
        </is>
      </c>
      <c r="H19" s="7" t="inlineStr">
        <is>
          <t>Referral</t>
        </is>
      </c>
      <c r="I19" s="15" t="inlineStr">
        <is>
          <t>$200k–$225k</t>
        </is>
      </c>
      <c r="J19" s="7" t="n">
        <v>7</v>
      </c>
      <c r="K19" s="16" t="inlineStr">
        <is>
          <t>4/12/2026</t>
        </is>
      </c>
      <c r="L19" s="16" t="inlineStr">
        <is>
          <t>5/14/2026</t>
        </is>
      </c>
      <c r="M19" s="16">
        <f>IF(K19="","",TODAY()-K19)</f>
        <v/>
      </c>
      <c r="N19" s="17">
        <f>IF(L19="","",IF(L19&lt;=TODAY(),"⚠ Follow-Up Due",IF(TODAY()-K19&gt;14,"⚠ Stale","✓ Current")))</f>
        <v/>
      </c>
      <c r="O19" s="15" t="n"/>
      <c r="P19" s="8" t="inlineStr">
        <is>
          <t>Quinn Reeves</t>
        </is>
      </c>
      <c r="Q19" s="8" t="inlineStr">
        <is>
          <t>Referred in</t>
        </is>
      </c>
      <c r="R19" s="8" t="inlineStr">
        <is>
          <t>Consumer health + privacy is a differentiated story</t>
        </is>
      </c>
      <c r="S19" s="8" t="inlineStr">
        <is>
          <t>Need stronger IoT/consumer security narrative</t>
        </is>
      </c>
      <c r="T19" s="8" t="inlineStr">
        <is>
          <t>Tighten consumer security angle before next round</t>
        </is>
      </c>
    </row>
    <row r="20" ht="36" customHeight="1">
      <c r="B20" s="7" t="inlineStr">
        <is>
          <t>Cascade Tech</t>
        </is>
      </c>
      <c r="C20" s="7" t="inlineStr">
        <is>
          <t>Operations Manager</t>
        </is>
      </c>
      <c r="D20" s="7" t="inlineStr">
        <is>
          <t>Interviewing</t>
        </is>
      </c>
      <c r="E20" s="15" t="n">
        <v>2</v>
      </c>
      <c r="F20" s="7" t="inlineStr">
        <is>
          <t>Medium</t>
        </is>
      </c>
      <c r="G20" s="15" t="inlineStr">
        <is>
          <t>No</t>
        </is>
      </c>
      <c r="H20" s="7" t="inlineStr">
        <is>
          <t>Cold apply</t>
        </is>
      </c>
      <c r="I20" s="15" t="inlineStr">
        <is>
          <t>$205k–$235k</t>
        </is>
      </c>
      <c r="J20" s="7" t="n">
        <v>7</v>
      </c>
      <c r="K20" s="16" t="inlineStr">
        <is>
          <t>4/25/2026</t>
        </is>
      </c>
      <c r="L20" s="16" t="inlineStr">
        <is>
          <t>5/11/2026</t>
        </is>
      </c>
      <c r="M20" s="16">
        <f>IF(K20="","",TODAY()-K20)</f>
        <v/>
      </c>
      <c r="N20" s="17">
        <f>IF(L20="","",IF(L20&lt;=TODAY(),"⚠ Follow-Up Due",IF(TODAY()-K20&gt;14,"⚠ Stale","✓ Current")))</f>
        <v/>
      </c>
      <c r="O20" s="15" t="n"/>
      <c r="P20" s="8" t="inlineStr">
        <is>
          <t>Sam Delgado</t>
        </is>
      </c>
      <c r="Q20" s="8" t="inlineStr">
        <is>
          <t>None</t>
        </is>
      </c>
      <c r="R20" s="8" t="inlineStr">
        <is>
          <t>Commerce scale and engineering culture appealing</t>
        </is>
      </c>
      <c r="S20" s="8" t="inlineStr">
        <is>
          <t>Role scope less defined than ideal</t>
        </is>
      </c>
      <c r="T20" s="8" t="inlineStr">
        <is>
          <t>Get clarity on whether this is security or ops</t>
        </is>
      </c>
    </row>
    <row r="21" ht="36" customHeight="1">
      <c r="B21" s="7" t="inlineStr">
        <is>
          <t>Driftwood Co.</t>
        </is>
      </c>
      <c r="C21" s="7" t="inlineStr">
        <is>
          <t>Manager, Info Security</t>
        </is>
      </c>
      <c r="D21" s="7" t="inlineStr">
        <is>
          <t>Interviewing</t>
        </is>
      </c>
      <c r="E21" s="15" t="n">
        <v>1</v>
      </c>
      <c r="F21" s="7" t="inlineStr">
        <is>
          <t>Low</t>
        </is>
      </c>
      <c r="G21" s="15" t="inlineStr">
        <is>
          <t>No</t>
        </is>
      </c>
      <c r="H21" s="7" t="inlineStr">
        <is>
          <t>Cold apply</t>
        </is>
      </c>
      <c r="I21" s="15" t="inlineStr">
        <is>
          <t>$175k–$195k</t>
        </is>
      </c>
      <c r="J21" s="7" t="n">
        <v>6</v>
      </c>
      <c r="K21" s="16" t="inlineStr">
        <is>
          <t>5/08/2026</t>
        </is>
      </c>
      <c r="L21" s="16" t="inlineStr">
        <is>
          <t>5/08/2026</t>
        </is>
      </c>
      <c r="M21" s="16">
        <f>IF(K21="","",TODAY()-K21)</f>
        <v/>
      </c>
      <c r="N21" s="17">
        <f>IF(L21="","",IF(L21&lt;=TODAY(),"⚠ Follow-Up Due",IF(TODAY()-K21&gt;14,"⚠ Stale","✓ Current")))</f>
        <v/>
      </c>
      <c r="O21" s="15" t="n"/>
      <c r="P21" s="8" t="inlineStr">
        <is>
          <t>Recruiter</t>
        </is>
      </c>
      <c r="Q21" s="8" t="inlineStr">
        <is>
          <t>None</t>
        </is>
      </c>
      <c r="R21" s="8" t="inlineStr">
        <is>
          <t>Interesting marketplace vertical</t>
        </is>
      </c>
      <c r="S21" s="8" t="inlineStr">
        <is>
          <t>Scope and comp below target</t>
        </is>
      </c>
      <c r="T21" s="8" t="inlineStr">
        <is>
          <t>Keep active but deprioritize vs. top pipeline</t>
        </is>
      </c>
    </row>
    <row r="22" ht="36" customHeight="1">
      <c r="B22" s="7" t="inlineStr">
        <is>
          <t>Kellner Group</t>
        </is>
      </c>
      <c r="C22" s="7" t="inlineStr">
        <is>
          <t>GRC Engineer</t>
        </is>
      </c>
      <c r="D22" s="7" t="inlineStr">
        <is>
          <t>Rejected</t>
        </is>
      </c>
      <c r="E22" s="15" t="n">
        <v>5</v>
      </c>
      <c r="F22" s="7" t="inlineStr">
        <is>
          <t>Low</t>
        </is>
      </c>
      <c r="G22" s="15" t="inlineStr">
        <is>
          <t>No</t>
        </is>
      </c>
      <c r="H22" s="7" t="inlineStr">
        <is>
          <t>Cold apply</t>
        </is>
      </c>
      <c r="I22" s="15" t="inlineStr">
        <is>
          <t>$180k–$205k</t>
        </is>
      </c>
      <c r="J22" s="7" t="n">
        <v>5</v>
      </c>
      <c r="K22" s="16" t="inlineStr">
        <is>
          <t>2/01/2026</t>
        </is>
      </c>
      <c r="L22" s="16" t="inlineStr">
        <is>
          <t>3/20/2026</t>
        </is>
      </c>
      <c r="M22" s="16">
        <f>IF(K22="","",TODAY()-K22)</f>
        <v/>
      </c>
      <c r="N22" s="17">
        <f>IF(L22="","",IF(L22&lt;=TODAY(),"⚠ Follow-Up Due",IF(TODAY()-K22&gt;14,"⚠ Stale","✓ Current")))</f>
        <v/>
      </c>
      <c r="O22" s="15" t="n"/>
      <c r="P22" s="8" t="inlineStr">
        <is>
          <t>None</t>
        </is>
      </c>
      <c r="Q22" s="8" t="inlineStr">
        <is>
          <t>None</t>
        </is>
      </c>
      <c r="R22" s="8" t="inlineStr">
        <is>
          <t>Technically interesting company</t>
        </is>
      </c>
      <c r="S22" s="8" t="inlineStr">
        <is>
          <t>Process ended</t>
        </is>
      </c>
      <c r="T22" s="8" t="inlineStr">
        <is>
          <t>Archive — save interview lessons only</t>
        </is>
      </c>
    </row>
    <row r="23" ht="36" customHeight="1">
      <c r="B23" s="7" t="inlineStr">
        <is>
          <t>Solaris IA</t>
        </is>
      </c>
      <c r="C23" s="7" t="inlineStr">
        <is>
          <t>IA Manager</t>
        </is>
      </c>
      <c r="D23" s="7" t="inlineStr">
        <is>
          <t>Rejected</t>
        </is>
      </c>
      <c r="E23" s="15" t="n">
        <v>2</v>
      </c>
      <c r="F23" s="7" t="inlineStr">
        <is>
          <t>Low</t>
        </is>
      </c>
      <c r="G23" s="15" t="inlineStr">
        <is>
          <t>No</t>
        </is>
      </c>
      <c r="H23" s="7" t="inlineStr">
        <is>
          <t>Cold apply</t>
        </is>
      </c>
      <c r="I23" s="15" t="inlineStr">
        <is>
          <t>$185k–$210k</t>
        </is>
      </c>
      <c r="J23" s="7" t="n">
        <v>5</v>
      </c>
      <c r="K23" s="16" t="inlineStr">
        <is>
          <t>3/15/2026</t>
        </is>
      </c>
      <c r="L23" s="16" t="inlineStr">
        <is>
          <t>4/10/2026</t>
        </is>
      </c>
      <c r="M23" s="16">
        <f>IF(K23="","",TODAY()-K23)</f>
        <v/>
      </c>
      <c r="N23" s="17">
        <f>IF(L23="","",IF(L23&lt;=TODAY(),"⚠ Follow-Up Due",IF(TODAY()-K23&gt;14,"⚠ Stale","✓ Current")))</f>
        <v/>
      </c>
      <c r="O23" s="15" t="n"/>
      <c r="P23" s="8" t="inlineStr">
        <is>
          <t>None</t>
        </is>
      </c>
      <c r="Q23" s="8" t="inlineStr">
        <is>
          <t>None</t>
        </is>
      </c>
      <c r="R23" s="8" t="inlineStr">
        <is>
          <t>Strong product and design culture</t>
        </is>
      </c>
      <c r="S23" s="8" t="inlineStr">
        <is>
          <t>Process ended early</t>
        </is>
      </c>
      <c r="T23" s="8" t="inlineStr">
        <is>
          <t>Archive</t>
        </is>
      </c>
    </row>
    <row r="24" ht="36" customHeight="1">
      <c r="B24" s="7" t="inlineStr">
        <is>
          <t>Redwave Health</t>
        </is>
      </c>
      <c r="C24" s="7" t="inlineStr">
        <is>
          <t>GRC Lead</t>
        </is>
      </c>
      <c r="D24" s="7" t="inlineStr">
        <is>
          <t>Rejected</t>
        </is>
      </c>
      <c r="E24" s="15" t="n">
        <v>2</v>
      </c>
      <c r="F24" s="7" t="inlineStr">
        <is>
          <t>Low</t>
        </is>
      </c>
      <c r="G24" s="15" t="inlineStr">
        <is>
          <t>No</t>
        </is>
      </c>
      <c r="H24" s="7" t="inlineStr">
        <is>
          <t>Cold apply</t>
        </is>
      </c>
      <c r="I24" s="15" t="inlineStr">
        <is>
          <t>$190k–$210k</t>
        </is>
      </c>
      <c r="J24" s="7" t="n">
        <v>5</v>
      </c>
      <c r="K24" s="16" t="inlineStr">
        <is>
          <t>3/10/2026</t>
        </is>
      </c>
      <c r="L24" s="16" t="inlineStr">
        <is>
          <t>4/05/2026</t>
        </is>
      </c>
      <c r="M24" s="16">
        <f>IF(K24="","",TODAY()-K24)</f>
        <v/>
      </c>
      <c r="N24" s="17">
        <f>IF(L24="","",IF(L24&lt;=TODAY(),"⚠ Follow-Up Due",IF(TODAY()-K24&gt;14,"⚠ Stale","✓ Current")))</f>
        <v/>
      </c>
      <c r="O24" s="15" t="n"/>
      <c r="P24" s="8" t="inlineStr">
        <is>
          <t>None</t>
        </is>
      </c>
      <c r="Q24" s="8" t="inlineStr">
        <is>
          <t>None</t>
        </is>
      </c>
      <c r="R24" s="8" t="inlineStr">
        <is>
          <t>Health tech is an interesting vertical</t>
        </is>
      </c>
      <c r="S24" s="8" t="inlineStr">
        <is>
          <t>Process ended</t>
        </is>
      </c>
      <c r="T24" s="8" t="inlineStr">
        <is>
          <t>Archive — note for future health-tech roles</t>
        </is>
      </c>
    </row>
  </sheetData>
  <mergeCells count="2">
    <mergeCell ref="B3:S3"/>
    <mergeCell ref="B2:S2"/>
  </mergeCells>
  <conditionalFormatting sqref="D9:D500">
    <cfRule type="cellIs" priority="1" operator="equal" dxfId="0">
      <formula>"Offer"</formula>
    </cfRule>
    <cfRule type="cellIs" priority="2" operator="equal" dxfId="0">
      <formula>"Final Round"</formula>
    </cfRule>
    <cfRule type="cellIs" priority="3" operator="equal" dxfId="1">
      <formula>"Rejected"</formula>
    </cfRule>
    <cfRule type="cellIs" priority="4" operator="equal" dxfId="2">
      <formula>"On Hold"</formula>
    </cfRule>
  </conditionalFormatting>
  <conditionalFormatting sqref="M9:M500">
    <cfRule type="cellIs" priority="5" operator="greaterThan" dxfId="3">
      <formula>14</formula>
    </cfRule>
  </conditionalFormatting>
  <conditionalFormatting sqref="L9:L500">
    <cfRule type="cellIs" priority="6" operator="lessThanOrEqual" dxfId="2">
      <formula>TODAY()</formula>
    </cfRule>
  </conditionalFormatting>
  <conditionalFormatting sqref="F9:F500">
    <cfRule type="cellIs" priority="7" operator="equal" dxfId="4">
      <formula>"High"</formula>
    </cfRule>
  </conditionalFormatting>
  <dataValidations count="4">
    <dataValidation sqref="D9:D500" showDropDown="0" showInputMessage="0" showErrorMessage="0" allowBlank="1" type="list">
      <formula1>Lists!$A$1:$A$12</formula1>
    </dataValidation>
    <dataValidation sqref="F9:F500" showDropDown="0" showInputMessage="0" showErrorMessage="0" allowBlank="1" type="list">
      <formula1>Lists!$B$1:$B$3</formula1>
    </dataValidation>
    <dataValidation sqref="H9:H500" showDropDown="0" showInputMessage="0" showErrorMessage="0" allowBlank="1" type="list">
      <formula1>Lists!$C$1:$C$5</formula1>
    </dataValidation>
    <dataValidation sqref="G9:G5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Wishlist</t>
        </is>
      </c>
      <c r="B1" t="inlineStr">
        <is>
          <t>High</t>
        </is>
      </c>
      <c r="C1" t="inlineStr">
        <is>
          <t>Cold apply</t>
        </is>
      </c>
    </row>
    <row r="2">
      <c r="A2" t="inlineStr">
        <is>
          <t>Applied</t>
        </is>
      </c>
      <c r="B2" t="inlineStr">
        <is>
          <t>Medium</t>
        </is>
      </c>
      <c r="C2" t="inlineStr">
        <is>
          <t>Referral</t>
        </is>
      </c>
    </row>
    <row r="3">
      <c r="A3" t="inlineStr">
        <is>
          <t>Networking</t>
        </is>
      </c>
      <c r="B3" t="inlineStr">
        <is>
          <t>Low</t>
        </is>
      </c>
      <c r="C3" t="inlineStr">
        <is>
          <t>Warm intro</t>
        </is>
      </c>
    </row>
    <row r="4">
      <c r="A4" t="inlineStr">
        <is>
          <t>Referral Requested</t>
        </is>
      </c>
      <c r="C4" t="inlineStr">
        <is>
          <t>Internal champion</t>
        </is>
      </c>
    </row>
    <row r="5">
      <c r="A5" t="inlineStr">
        <is>
          <t>Referral Received</t>
        </is>
      </c>
      <c r="C5" t="inlineStr">
        <is>
          <t>Recruiter outreach</t>
        </is>
      </c>
    </row>
    <row r="6">
      <c r="A6" t="inlineStr">
        <is>
          <t>Recruiter Screen</t>
        </is>
      </c>
    </row>
    <row r="7">
      <c r="A7" t="inlineStr">
        <is>
          <t>Interviewing</t>
        </is>
      </c>
    </row>
    <row r="8">
      <c r="A8" t="inlineStr">
        <is>
          <t>Final Round</t>
        </is>
      </c>
    </row>
    <row r="9">
      <c r="A9" t="inlineStr">
        <is>
          <t>Offer</t>
        </is>
      </c>
    </row>
    <row r="10">
      <c r="A10" t="inlineStr">
        <is>
          <t>Rejected</t>
        </is>
      </c>
    </row>
    <row r="11">
      <c r="A11" t="inlineStr">
        <is>
          <t>Withdrawn</t>
        </is>
      </c>
    </row>
    <row r="12">
      <c r="A12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2026-05-21T10:39:14Z</dcterms:created>
  <dcterms:modified xmlns:dcterms="http://purl.org/dc/terms/" xmlns:xsi="http://www.w3.org/2001/XMLSchema-instance" xsi:type="dcterms:W3CDTF">2026-05-21T10:39:14Z</dcterms:modified>
</cp:coreProperties>
</file>